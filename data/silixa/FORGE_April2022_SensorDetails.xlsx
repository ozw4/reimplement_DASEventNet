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towerw1\ME4012\aiusers\aiuser4\DENOISE\daseventnet\data\silixa\"/>
    </mc:Choice>
  </mc:AlternateContent>
  <xr:revisionPtr revIDLastSave="0" documentId="13_ncr:1_{A8961927-F305-4684-A658-8A157A4EB759}" xr6:coauthVersionLast="47" xr6:coauthVersionMax="47" xr10:uidLastSave="{00000000-0000-0000-0000-000000000000}"/>
  <bookViews>
    <workbookView xWindow="38280" yWindow="-120" windowWidth="29040" windowHeight="15840" activeTab="6" xr2:uid="{F0E5E303-E236-4539-87AC-F65864D5931F}"/>
  </bookViews>
  <sheets>
    <sheet name="Reference" sheetId="8" r:id="rId1"/>
    <sheet name="56" sheetId="3" r:id="rId2"/>
    <sheet name="58" sheetId="4" r:id="rId3"/>
    <sheet name="78B" sheetId="2" r:id="rId4"/>
    <sheet name="78A-BOSS" sheetId="5" r:id="rId5"/>
    <sheet name="78A-Sulis" sheetId="6" r:id="rId6"/>
    <sheet name="78A&amp;B-Silixa"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8" i="7" l="1"/>
  <c r="Q17" i="7"/>
  <c r="O20" i="7"/>
  <c r="D3" i="6"/>
  <c r="D11" i="6" s="1"/>
  <c r="C11" i="6" l="1"/>
  <c r="D12" i="6"/>
  <c r="D13" i="6" s="1"/>
  <c r="D14" i="6" s="1"/>
  <c r="D15" i="6" s="1"/>
  <c r="D16" i="6" s="1"/>
  <c r="D17" i="6" s="1"/>
  <c r="D18" i="6" s="1"/>
  <c r="D19" i="6" s="1"/>
  <c r="D20" i="6" s="1"/>
  <c r="D21" i="6" s="1"/>
  <c r="D22" i="6" s="1"/>
  <c r="D23" i="6" s="1"/>
  <c r="D24" i="6" s="1"/>
  <c r="D25" i="6" s="1"/>
  <c r="D26" i="6" s="1"/>
  <c r="D27" i="6" s="1"/>
  <c r="D28" i="6" s="1"/>
  <c r="D29" i="6" s="1"/>
  <c r="D30" i="6" s="1"/>
  <c r="D31" i="6" s="1"/>
  <c r="D32" i="6" s="1"/>
  <c r="D33" i="6" s="1"/>
  <c r="D34" i="6" s="1"/>
  <c r="D35" i="6" s="1"/>
  <c r="D36" i="6" s="1"/>
  <c r="D37" i="6" s="1"/>
  <c r="D38" i="6" s="1"/>
  <c r="D39" i="6" s="1"/>
  <c r="D40" i="6" s="1"/>
  <c r="D41" i="6" s="1"/>
  <c r="D42" i="6" s="1"/>
  <c r="D43" i="6" s="1"/>
  <c r="D44" i="6" s="1"/>
  <c r="D45" i="6" s="1"/>
  <c r="D46" i="6" s="1"/>
  <c r="D47" i="6" s="1"/>
  <c r="D48" i="6" s="1"/>
  <c r="D49" i="6" s="1"/>
  <c r="D50" i="6" s="1"/>
  <c r="D12" i="3" l="1"/>
  <c r="C38" i="7"/>
  <c r="E38" i="7" s="1"/>
  <c r="C37" i="7"/>
  <c r="E32" i="7"/>
  <c r="G32" i="7" s="1"/>
  <c r="M31" i="7" s="1"/>
  <c r="I23" i="7"/>
  <c r="D20" i="7"/>
  <c r="L19" i="7"/>
  <c r="D19" i="7"/>
  <c r="D37" i="7" s="1"/>
  <c r="G17" i="7"/>
  <c r="D17" i="7"/>
  <c r="L16" i="7"/>
  <c r="D16" i="7"/>
  <c r="K16" i="7" l="1"/>
  <c r="D32" i="7" s="1"/>
  <c r="F32" i="7" s="1"/>
  <c r="K19" i="7"/>
  <c r="M19" i="7" s="1"/>
  <c r="K37" i="7" s="1"/>
  <c r="G38" i="7"/>
  <c r="M37" i="7" s="1"/>
  <c r="D38" i="7"/>
  <c r="M16" i="7" l="1"/>
  <c r="D24" i="7" s="1"/>
  <c r="F38" i="7"/>
  <c r="H38" i="7" s="1"/>
  <c r="H37" i="7" s="1"/>
  <c r="H32" i="7"/>
  <c r="E31" i="7" l="1"/>
  <c r="K31" i="7"/>
  <c r="P37" i="7"/>
  <c r="P38" i="7" s="1"/>
  <c r="P39" i="7" s="1"/>
  <c r="J37" i="7"/>
  <c r="H31" i="7"/>
  <c r="J31" i="7" s="1"/>
  <c r="E37" i="7"/>
  <c r="P31" i="7" l="1"/>
  <c r="P32" i="7" s="1"/>
  <c r="P33" i="7" s="1"/>
  <c r="D53" i="6"/>
  <c r="I16" i="2" l="1"/>
  <c r="E9" i="2"/>
  <c r="E9" i="4"/>
</calcChain>
</file>

<file path=xl/sharedStrings.xml><?xml version="1.0" encoding="utf-8"?>
<sst xmlns="http://schemas.openxmlformats.org/spreadsheetml/2006/main" count="191" uniqueCount="129">
  <si>
    <t>8 levels</t>
  </si>
  <si>
    <t>100ft intervals</t>
  </si>
  <si>
    <t>3C per level.</t>
  </si>
  <si>
    <t>4 sensors per component</t>
  </si>
  <si>
    <t>Geospace Omni 2400, 198V/m/s overall, 47kohm damping</t>
  </si>
  <si>
    <t>High side indicator for orientation</t>
  </si>
  <si>
    <t>Avalon Geochain X</t>
  </si>
  <si>
    <t>3 levels</t>
  </si>
  <si>
    <t>15m intervals</t>
  </si>
  <si>
    <t>3C per level</t>
  </si>
  <si>
    <t>1 sensor per component</t>
  </si>
  <si>
    <t>Sensitivity unknown</t>
  </si>
  <si>
    <t>Temperature spec, 135°C wireline limit. 180°C tools</t>
  </si>
  <si>
    <t>Sulis - wireline DAS</t>
  </si>
  <si>
    <t>5-20m gauge length, 0.8m trace interval.</t>
  </si>
  <si>
    <t>Silixa - behind casing DAS</t>
  </si>
  <si>
    <t>10m gauge length, 1m trace interval. 0-3237ft. 78A</t>
  </si>
  <si>
    <t>There is not much energy beneath trace 500 in 78A. I found last trace is 1155</t>
  </si>
  <si>
    <t>10m gauge length, 1m trace interval. 0-3993ft. 78B</t>
  </si>
  <si>
    <t>Geochain</t>
  </si>
  <si>
    <t>String MD bGL ft</t>
  </si>
  <si>
    <t>First deployment</t>
  </si>
  <si>
    <t>Divine scale factor to um/s</t>
  </si>
  <si>
    <t>Schlumberger truck</t>
  </si>
  <si>
    <t>Avalon winch</t>
  </si>
  <si>
    <t>String MD rKB ft</t>
  </si>
  <si>
    <t>NB KB is 30.4ft above GL</t>
  </si>
  <si>
    <t>BOSS</t>
  </si>
  <si>
    <t>NB the chain is delivered pre-connected with the interlink cables</t>
  </si>
  <si>
    <t>78-32A 3151.6 to 3250 ft. Max. temp 107°C. Max TVD 3079.7</t>
  </si>
  <si>
    <t>bGL ft</t>
  </si>
  <si>
    <t>Trace</t>
  </si>
  <si>
    <t>78B</t>
  </si>
  <si>
    <t>78A</t>
  </si>
  <si>
    <t>Silixa 78A-78B fibre channels vs fibre length vs depth</t>
  </si>
  <si>
    <t>Position</t>
  </si>
  <si>
    <t>Channel</t>
  </si>
  <si>
    <t>Length m</t>
  </si>
  <si>
    <t>Length ft</t>
  </si>
  <si>
    <t>Fibre length</t>
  </si>
  <si>
    <t>Trace interval</t>
  </si>
  <si>
    <t>Top of granite</t>
  </si>
  <si>
    <t>ft</t>
  </si>
  <si>
    <t>In granite</t>
  </si>
  <si>
    <t>ch</t>
  </si>
  <si>
    <t>Check</t>
  </si>
  <si>
    <t>from JRs 2019 ppt</t>
  </si>
  <si>
    <t>No. channels</t>
  </si>
  <si>
    <t>TVD</t>
  </si>
  <si>
    <t>No. traces</t>
  </si>
  <si>
    <t>HIS</t>
  </si>
  <si>
    <t>16th April</t>
  </si>
  <si>
    <t>m</t>
  </si>
  <si>
    <t>17th April</t>
  </si>
  <si>
    <t>19th April</t>
  </si>
  <si>
    <t>SM-45 MiniHighTemp</t>
  </si>
  <si>
    <t>V/m/s</t>
  </si>
  <si>
    <t>Downhole gain</t>
  </si>
  <si>
    <t>x501</t>
  </si>
  <si>
    <t>54dB</t>
  </si>
  <si>
    <t>Surface gain</t>
  </si>
  <si>
    <t>x2</t>
  </si>
  <si>
    <t>6dB</t>
  </si>
  <si>
    <t>in the panel</t>
  </si>
  <si>
    <t>Overal sensitivity</t>
  </si>
  <si>
    <t>Scaling factor</t>
  </si>
  <si>
    <t>Failed</t>
  </si>
  <si>
    <t>bGLm</t>
  </si>
  <si>
    <t>bGLft</t>
  </si>
  <si>
    <t>Ignore</t>
  </si>
  <si>
    <t>Top sonde</t>
  </si>
  <si>
    <t>Connection pod</t>
  </si>
  <si>
    <t>5m above the top sonde</t>
  </si>
  <si>
    <t xml:space="preserve">The distance between the BOSS sondes is 15 m, the distance between the top sonde and the connection pod is 5 m. I configured the DAS to record the entire length of the wireline in the well. From 0ft down to the bottom tool at 3250ft. </t>
  </si>
  <si>
    <t xml:space="preserve">To work out the correct depths for each channel in MIRF the offset of 917.6m needs to be subtracted from each MD in the channel header. Any channel below the bottom sonde can be considered junk and ignored. </t>
  </si>
  <si>
    <t>Trace 1 = 0m</t>
  </si>
  <si>
    <t>Trace 1 = 24.8m</t>
  </si>
  <si>
    <t>Trace 3 = 49.6m</t>
  </si>
  <si>
    <t xml:space="preserve">. </t>
  </si>
  <si>
    <t>.</t>
  </si>
  <si>
    <t>Trace 40 = 967.2m</t>
  </si>
  <si>
    <t>Trace 41 = 992.0m</t>
  </si>
  <si>
    <t xml:space="preserve">Trace 42 = Ignore </t>
  </si>
  <si>
    <t>BKs email 11/5/22</t>
  </si>
  <si>
    <t>Attempts to deploy an 8 level Geochain in this well failed</t>
  </si>
  <si>
    <t>Volts to m/s</t>
  </si>
  <si>
    <t>MD ft bGL</t>
  </si>
  <si>
    <t>Deployed</t>
  </si>
  <si>
    <t xml:space="preserve">Tool is on from prior  to the first trigger at </t>
  </si>
  <si>
    <t>First event</t>
  </si>
  <si>
    <t>Note, the fibres in 78A and B are daisy chained together hence the relationships between channel numbers and depths derived below</t>
  </si>
  <si>
    <t>The Silixa system may have been on prior to this but didn't appear to have detected any events</t>
  </si>
  <si>
    <t>East</t>
  </si>
  <si>
    <t>North</t>
  </si>
  <si>
    <t>Depth</t>
  </si>
  <si>
    <t>MDrGL</t>
  </si>
  <si>
    <t xml:space="preserve">East </t>
  </si>
  <si>
    <t>Coordinate reference</t>
  </si>
  <si>
    <t>Ground level at the 16A-32 wellhead (0, 0, 0)</t>
  </si>
  <si>
    <t>Depth is defined to increase downwards so a depth of 10ft is below ground level</t>
  </si>
  <si>
    <t>All units are feet</t>
  </si>
  <si>
    <t>Sensor separation</t>
  </si>
  <si>
    <t xml:space="preserve">Tool is on from prior to the first trigger at </t>
  </si>
  <si>
    <t>Ch</t>
  </si>
  <si>
    <t>Nearest integer ch</t>
  </si>
  <si>
    <t>For GES preliminary processing the iDAS data were exported at an interval of 20 traces</t>
  </si>
  <si>
    <t>The first and last trace were selected corresponding to just above the top of granite to the last channel - 1 in 78A and 78B</t>
  </si>
  <si>
    <t>TD</t>
  </si>
  <si>
    <t>GL</t>
  </si>
  <si>
    <t>GL top</t>
  </si>
  <si>
    <t>TD bottom</t>
  </si>
  <si>
    <t>GES partial iDAS trace data from 78A and 78B</t>
  </si>
  <si>
    <t>Ground level</t>
  </si>
  <si>
    <t>Terminal depth - the bottom of the well</t>
  </si>
  <si>
    <t>The Geochain was replaced with one of the long term monitoring strings.</t>
  </si>
  <si>
    <t>Gary Tubridy (ASL) email 17/8/2021</t>
  </si>
  <si>
    <t>bGL</t>
  </si>
  <si>
    <t>below ground level</t>
  </si>
  <si>
    <t>Inclination °</t>
  </si>
  <si>
    <t>Roll °</t>
  </si>
  <si>
    <t>KB</t>
  </si>
  <si>
    <t>Kelly Bushing - the driller depth reference</t>
  </si>
  <si>
    <t>Depths from Ben Kaack (ASL) email 11/5/22</t>
  </si>
  <si>
    <t>Sample interval</t>
  </si>
  <si>
    <t>0.25ms</t>
  </si>
  <si>
    <t>Geophone and wireline DAS trace data</t>
  </si>
  <si>
    <t>Silixa DAS trace data</t>
  </si>
  <si>
    <t>First deployment together with BOSS</t>
  </si>
  <si>
    <t>Max. temp specs, 210°C - tool. 246°C Rochester 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</si>
</sst>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numFmts>
  <fonts count="4" x14ac:knownFonts="1">
    <font>
      <sz val="11"/>
      <color theme="1"/>
      <name val="游ゴシック"/>
      <family val="2"/>
      <scheme val="minor"/>
    </font>
    <font>
      <sz val="11"/>
      <color rgb="FF1F497D"/>
      <name val="游ゴシック"/>
      <family val="2"/>
      <scheme val="minor"/>
    </font>
    <font>
      <sz val="6"/>
      <name val="游ゴシック"/>
      <family val="3"/>
      <charset val="128"/>
      <scheme val="minor"/>
    </font>
    <font>
      <sz val="11"/>
      <color rgb="FFFF0000"/>
      <name val="游ゴシック"/>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176" fontId="0" fillId="0" borderId="0" xfId="0" applyNumberFormat="1"/>
    <xf numFmtId="0" fontId="0" fillId="2" borderId="0" xfId="0" applyFill="1"/>
    <xf numFmtId="14" fontId="0" fillId="0" borderId="0" xfId="0" applyNumberFormat="1"/>
    <xf numFmtId="20" fontId="0" fillId="0" borderId="0" xfId="0" applyNumberFormat="1"/>
    <xf numFmtId="49" fontId="0" fillId="0" borderId="0" xfId="0" applyNumberFormat="1"/>
    <xf numFmtId="2" fontId="0" fillId="0" borderId="0" xfId="0" applyNumberFormat="1"/>
    <xf numFmtId="0" fontId="1" fillId="0" borderId="0" xfId="0" applyFont="1" applyAlignment="1">
      <alignment vertical="center"/>
    </xf>
    <xf numFmtId="0" fontId="3" fillId="0" borderId="0" xfId="0" applyFont="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80F93-ACEB-4F9C-B74D-526B9E058DA6}">
  <dimension ref="A1:D16"/>
  <sheetViews>
    <sheetView workbookViewId="0">
      <selection activeCell="H22" sqref="H22"/>
    </sheetView>
  </sheetViews>
  <sheetFormatPr defaultRowHeight="18.75" x14ac:dyDescent="0.4"/>
  <sheetData>
    <row r="1" spans="1:4" x14ac:dyDescent="0.4">
      <c r="A1" t="s">
        <v>97</v>
      </c>
    </row>
    <row r="3" spans="1:4" x14ac:dyDescent="0.4">
      <c r="B3" t="s">
        <v>98</v>
      </c>
    </row>
    <row r="4" spans="1:4" x14ac:dyDescent="0.4">
      <c r="B4" t="s">
        <v>99</v>
      </c>
    </row>
    <row r="5" spans="1:4" x14ac:dyDescent="0.4">
      <c r="B5" t="s">
        <v>100</v>
      </c>
    </row>
    <row r="7" spans="1:4" x14ac:dyDescent="0.4">
      <c r="B7" t="s">
        <v>108</v>
      </c>
      <c r="C7" t="s">
        <v>112</v>
      </c>
    </row>
    <row r="8" spans="1:4" x14ac:dyDescent="0.4">
      <c r="B8" t="s">
        <v>116</v>
      </c>
      <c r="C8" t="s">
        <v>117</v>
      </c>
    </row>
    <row r="9" spans="1:4" x14ac:dyDescent="0.4">
      <c r="B9" t="s">
        <v>107</v>
      </c>
      <c r="C9" t="s">
        <v>113</v>
      </c>
    </row>
    <row r="10" spans="1:4" x14ac:dyDescent="0.4">
      <c r="B10" t="s">
        <v>120</v>
      </c>
      <c r="C10" t="s">
        <v>121</v>
      </c>
    </row>
    <row r="12" spans="1:4" x14ac:dyDescent="0.4">
      <c r="A12" t="s">
        <v>125</v>
      </c>
    </row>
    <row r="13" spans="1:4" x14ac:dyDescent="0.4">
      <c r="B13" t="s">
        <v>123</v>
      </c>
      <c r="D13" t="s">
        <v>124</v>
      </c>
    </row>
    <row r="15" spans="1:4" x14ac:dyDescent="0.4">
      <c r="A15" t="s">
        <v>126</v>
      </c>
    </row>
    <row r="16" spans="1:4" x14ac:dyDescent="0.4">
      <c r="B16" t="s">
        <v>123</v>
      </c>
      <c r="D16" t="s">
        <v>124</v>
      </c>
    </row>
  </sheetData>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8241B-8D1B-4083-85D3-C29C7791BF6F}">
  <dimension ref="A1:G18"/>
  <sheetViews>
    <sheetView workbookViewId="0">
      <selection activeCell="E17" sqref="E17:G18"/>
    </sheetView>
  </sheetViews>
  <sheetFormatPr defaultRowHeight="18.75" x14ac:dyDescent="0.4"/>
  <cols>
    <col min="1" max="1" width="10.75" bestFit="1" customWidth="1"/>
    <col min="4" max="4" width="12" bestFit="1" customWidth="1"/>
  </cols>
  <sheetData>
    <row r="1" spans="1:7" x14ac:dyDescent="0.4">
      <c r="A1" s="3" t="s">
        <v>84</v>
      </c>
    </row>
    <row r="3" spans="1:7" x14ac:dyDescent="0.4">
      <c r="A3" t="s">
        <v>114</v>
      </c>
    </row>
    <row r="5" spans="1:7" x14ac:dyDescent="0.4">
      <c r="B5" t="s">
        <v>55</v>
      </c>
      <c r="E5">
        <v>45.5</v>
      </c>
      <c r="F5" t="s">
        <v>56</v>
      </c>
    </row>
    <row r="7" spans="1:7" x14ac:dyDescent="0.4">
      <c r="B7" t="s">
        <v>57</v>
      </c>
      <c r="D7" t="s">
        <v>58</v>
      </c>
      <c r="E7" t="s">
        <v>59</v>
      </c>
    </row>
    <row r="8" spans="1:7" x14ac:dyDescent="0.4">
      <c r="B8" t="s">
        <v>60</v>
      </c>
      <c r="D8" t="s">
        <v>61</v>
      </c>
      <c r="E8" t="s">
        <v>62</v>
      </c>
      <c r="F8" t="s">
        <v>63</v>
      </c>
    </row>
    <row r="10" spans="1:7" x14ac:dyDescent="0.4">
      <c r="B10" t="s">
        <v>64</v>
      </c>
      <c r="D10">
        <v>87570</v>
      </c>
      <c r="E10" t="s">
        <v>56</v>
      </c>
      <c r="F10" t="s">
        <v>115</v>
      </c>
    </row>
    <row r="12" spans="1:7" x14ac:dyDescent="0.4">
      <c r="B12" t="s">
        <v>65</v>
      </c>
      <c r="D12">
        <f>1/D10</f>
        <v>1.1419435879867534E-5</v>
      </c>
      <c r="E12" t="s">
        <v>85</v>
      </c>
    </row>
    <row r="14" spans="1:7" x14ac:dyDescent="0.4">
      <c r="D14" t="s">
        <v>87</v>
      </c>
      <c r="E14" s="4">
        <v>0.55625000000000002</v>
      </c>
      <c r="F14" t="s">
        <v>54</v>
      </c>
    </row>
    <row r="15" spans="1:7" x14ac:dyDescent="0.4">
      <c r="E15" s="4"/>
    </row>
    <row r="16" spans="1:7" x14ac:dyDescent="0.4">
      <c r="D16" t="s">
        <v>86</v>
      </c>
      <c r="E16" s="4" t="s">
        <v>96</v>
      </c>
      <c r="F16" t="s">
        <v>93</v>
      </c>
      <c r="G16" t="s">
        <v>94</v>
      </c>
    </row>
    <row r="17" spans="4:7" x14ac:dyDescent="0.4">
      <c r="D17">
        <v>7315</v>
      </c>
      <c r="E17" s="6">
        <v>2782.2912999999999</v>
      </c>
      <c r="F17" s="6">
        <v>-49.337000000000003</v>
      </c>
      <c r="G17" s="6">
        <v>7272.6003000000001</v>
      </c>
    </row>
    <row r="18" spans="4:7" x14ac:dyDescent="0.4">
      <c r="D18">
        <v>8315</v>
      </c>
      <c r="E18" s="6">
        <v>2762.3155000000002</v>
      </c>
      <c r="F18" s="6">
        <v>-78.830500000000001</v>
      </c>
      <c r="G18" s="6">
        <v>8271.7566999999999</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EA39-EB27-48D9-9701-541DFA7CBBA8}">
  <dimension ref="A1:G31"/>
  <sheetViews>
    <sheetView workbookViewId="0">
      <selection activeCell="E13" sqref="E13:G21"/>
    </sheetView>
  </sheetViews>
  <sheetFormatPr defaultRowHeight="18.75" x14ac:dyDescent="0.4"/>
  <cols>
    <col min="1" max="1" width="10.75" bestFit="1" customWidth="1"/>
  </cols>
  <sheetData>
    <row r="1" spans="1:7" x14ac:dyDescent="0.4">
      <c r="A1" t="s">
        <v>19</v>
      </c>
    </row>
    <row r="2" spans="1:7" x14ac:dyDescent="0.4">
      <c r="B2" t="s">
        <v>6</v>
      </c>
    </row>
    <row r="3" spans="1:7" x14ac:dyDescent="0.4">
      <c r="B3" t="s">
        <v>23</v>
      </c>
    </row>
    <row r="4" spans="1:7" x14ac:dyDescent="0.4">
      <c r="B4" t="s">
        <v>0</v>
      </c>
    </row>
    <row r="5" spans="1:7" x14ac:dyDescent="0.4">
      <c r="B5" t="s">
        <v>1</v>
      </c>
    </row>
    <row r="6" spans="1:7" x14ac:dyDescent="0.4">
      <c r="B6" t="s">
        <v>2</v>
      </c>
    </row>
    <row r="7" spans="1:7" x14ac:dyDescent="0.4">
      <c r="B7" t="s">
        <v>3</v>
      </c>
    </row>
    <row r="8" spans="1:7" x14ac:dyDescent="0.4">
      <c r="B8" t="s">
        <v>4</v>
      </c>
    </row>
    <row r="9" spans="1:7" x14ac:dyDescent="0.4">
      <c r="B9" t="s">
        <v>22</v>
      </c>
      <c r="E9">
        <f>1000000/198</f>
        <v>5050.5050505050503</v>
      </c>
    </row>
    <row r="11" spans="1:7" x14ac:dyDescent="0.4">
      <c r="A11" t="s">
        <v>87</v>
      </c>
      <c r="B11" s="4">
        <v>0.7402777777777777</v>
      </c>
      <c r="C11" t="s">
        <v>51</v>
      </c>
    </row>
    <row r="13" spans="1:7" x14ac:dyDescent="0.4">
      <c r="B13" t="s">
        <v>20</v>
      </c>
      <c r="E13" s="6" t="s">
        <v>92</v>
      </c>
      <c r="F13" s="6" t="s">
        <v>93</v>
      </c>
      <c r="G13" s="6" t="s">
        <v>94</v>
      </c>
    </row>
    <row r="14" spans="1:7" x14ac:dyDescent="0.4">
      <c r="B14">
        <v>1</v>
      </c>
      <c r="C14">
        <v>6000</v>
      </c>
      <c r="E14" s="6">
        <v>2529.9052999999999</v>
      </c>
      <c r="F14" s="6">
        <v>-1319.5518999999999</v>
      </c>
      <c r="G14" s="6">
        <v>5879.1902</v>
      </c>
    </row>
    <row r="15" spans="1:7" x14ac:dyDescent="0.4">
      <c r="B15">
        <v>2</v>
      </c>
      <c r="C15">
        <v>6100</v>
      </c>
      <c r="E15" s="6">
        <v>2528.8409000000001</v>
      </c>
      <c r="F15" s="6">
        <v>-1316.66</v>
      </c>
      <c r="G15" s="6">
        <v>5979.1409999999996</v>
      </c>
    </row>
    <row r="16" spans="1:7" x14ac:dyDescent="0.4">
      <c r="B16">
        <v>3</v>
      </c>
      <c r="C16">
        <v>6200</v>
      </c>
      <c r="E16" s="6">
        <v>2528.0988000000002</v>
      </c>
      <c r="F16" s="6">
        <v>-1313.0908999999999</v>
      </c>
      <c r="G16" s="6">
        <v>6079.0744999999997</v>
      </c>
    </row>
    <row r="17" spans="1:7" x14ac:dyDescent="0.4">
      <c r="B17">
        <v>4</v>
      </c>
      <c r="C17">
        <v>6300</v>
      </c>
      <c r="E17" s="6">
        <v>2527.3568</v>
      </c>
      <c r="F17" s="6">
        <v>-1309.5219</v>
      </c>
      <c r="G17" s="6">
        <v>6179.0081</v>
      </c>
    </row>
    <row r="18" spans="1:7" x14ac:dyDescent="0.4">
      <c r="B18">
        <v>5</v>
      </c>
      <c r="C18">
        <v>6400</v>
      </c>
      <c r="E18" s="6">
        <v>2526.319</v>
      </c>
      <c r="F18" s="6">
        <v>-1305.6822</v>
      </c>
      <c r="G18" s="6">
        <v>6278.9282999999996</v>
      </c>
    </row>
    <row r="19" spans="1:7" x14ac:dyDescent="0.4">
      <c r="B19">
        <v>6</v>
      </c>
      <c r="C19">
        <v>6500</v>
      </c>
      <c r="E19" s="6">
        <v>2524.6437000000001</v>
      </c>
      <c r="F19" s="6">
        <v>-1301.9290000000001</v>
      </c>
      <c r="G19" s="6">
        <v>6378.8393999999998</v>
      </c>
    </row>
    <row r="20" spans="1:7" x14ac:dyDescent="0.4">
      <c r="B20">
        <v>7</v>
      </c>
      <c r="C20">
        <v>6600</v>
      </c>
      <c r="E20" s="6">
        <v>2521.5729999999999</v>
      </c>
      <c r="F20" s="6">
        <v>-1299.2519</v>
      </c>
      <c r="G20" s="6">
        <v>6478.7563</v>
      </c>
    </row>
    <row r="21" spans="1:7" x14ac:dyDescent="0.4">
      <c r="B21">
        <v>8</v>
      </c>
      <c r="C21">
        <v>6700</v>
      </c>
      <c r="E21" s="6">
        <v>2516.2474000000002</v>
      </c>
      <c r="F21" s="6">
        <v>-1298.2847999999999</v>
      </c>
      <c r="G21" s="6">
        <v>6578.6076999999996</v>
      </c>
    </row>
    <row r="23" spans="1:7" x14ac:dyDescent="0.4">
      <c r="A23" s="4"/>
      <c r="B23" s="5"/>
    </row>
    <row r="24" spans="1:7" x14ac:dyDescent="0.4">
      <c r="A24" s="4"/>
    </row>
    <row r="26" spans="1:7" x14ac:dyDescent="0.4">
      <c r="A26" s="4"/>
    </row>
    <row r="27" spans="1:7" x14ac:dyDescent="0.4">
      <c r="A27" s="4"/>
    </row>
    <row r="29" spans="1:7" x14ac:dyDescent="0.4">
      <c r="A29" s="4"/>
    </row>
    <row r="31" spans="1:7" x14ac:dyDescent="0.4">
      <c r="A31" s="4"/>
    </row>
  </sheetData>
  <phoneticPr fontId="2"/>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5B0AB-CBDF-46C1-B6A7-1AFC0C53D699}">
  <dimension ref="A1:J23"/>
  <sheetViews>
    <sheetView workbookViewId="0">
      <selection activeCell="B10" sqref="B10"/>
    </sheetView>
  </sheetViews>
  <sheetFormatPr defaultRowHeight="18.75" x14ac:dyDescent="0.4"/>
  <cols>
    <col min="1" max="1" width="10.75" bestFit="1" customWidth="1"/>
    <col min="4" max="4" width="11.875" customWidth="1"/>
  </cols>
  <sheetData>
    <row r="1" spans="1:10" x14ac:dyDescent="0.4">
      <c r="A1" t="s">
        <v>19</v>
      </c>
    </row>
    <row r="2" spans="1:10" x14ac:dyDescent="0.4">
      <c r="B2" t="s">
        <v>6</v>
      </c>
    </row>
    <row r="3" spans="1:10" x14ac:dyDescent="0.4">
      <c r="B3" t="s">
        <v>24</v>
      </c>
    </row>
    <row r="4" spans="1:10" x14ac:dyDescent="0.4">
      <c r="B4" t="s">
        <v>0</v>
      </c>
    </row>
    <row r="5" spans="1:10" x14ac:dyDescent="0.4">
      <c r="B5" t="s">
        <v>1</v>
      </c>
    </row>
    <row r="6" spans="1:10" x14ac:dyDescent="0.4">
      <c r="B6" t="s">
        <v>2</v>
      </c>
    </row>
    <row r="7" spans="1:10" x14ac:dyDescent="0.4">
      <c r="B7" t="s">
        <v>3</v>
      </c>
    </row>
    <row r="8" spans="1:10" x14ac:dyDescent="0.4">
      <c r="B8" t="s">
        <v>4</v>
      </c>
    </row>
    <row r="9" spans="1:10" x14ac:dyDescent="0.4">
      <c r="B9" t="s">
        <v>22</v>
      </c>
      <c r="E9">
        <f>1000000/198</f>
        <v>5050.5050505050503</v>
      </c>
    </row>
    <row r="10" spans="1:10" x14ac:dyDescent="0.4">
      <c r="B10" t="s">
        <v>128</v>
      </c>
    </row>
    <row r="11" spans="1:10" x14ac:dyDescent="0.4">
      <c r="B11" t="s">
        <v>5</v>
      </c>
    </row>
    <row r="13" spans="1:10" x14ac:dyDescent="0.4">
      <c r="A13" t="s">
        <v>87</v>
      </c>
      <c r="B13" s="4">
        <v>0.9916666666666667</v>
      </c>
      <c r="C13" t="s">
        <v>54</v>
      </c>
    </row>
    <row r="14" spans="1:10" x14ac:dyDescent="0.4">
      <c r="D14" t="s">
        <v>50</v>
      </c>
      <c r="F14" t="s">
        <v>26</v>
      </c>
    </row>
    <row r="15" spans="1:10" x14ac:dyDescent="0.4">
      <c r="B15" t="s">
        <v>25</v>
      </c>
      <c r="D15" t="s">
        <v>118</v>
      </c>
      <c r="E15" t="s">
        <v>119</v>
      </c>
      <c r="F15" s="6" t="s">
        <v>92</v>
      </c>
      <c r="G15" s="6" t="s">
        <v>93</v>
      </c>
      <c r="H15" s="6" t="s">
        <v>94</v>
      </c>
    </row>
    <row r="16" spans="1:10" x14ac:dyDescent="0.4">
      <c r="B16">
        <v>1</v>
      </c>
      <c r="C16">
        <v>6875</v>
      </c>
      <c r="D16">
        <v>1.3</v>
      </c>
      <c r="E16">
        <v>37</v>
      </c>
      <c r="F16" s="6">
        <v>4001.4459999999999</v>
      </c>
      <c r="G16" s="6">
        <v>-1513.4928</v>
      </c>
      <c r="H16" s="6">
        <v>5316.6895000000004</v>
      </c>
      <c r="I16">
        <f>6874-30.4</f>
        <v>6843.6</v>
      </c>
      <c r="J16" t="s">
        <v>95</v>
      </c>
    </row>
    <row r="17" spans="2:8" x14ac:dyDescent="0.4">
      <c r="B17">
        <v>2</v>
      </c>
      <c r="C17">
        <v>6975</v>
      </c>
      <c r="D17">
        <v>2.6</v>
      </c>
      <c r="E17">
        <v>209</v>
      </c>
      <c r="F17" s="6">
        <v>3998.2166000000002</v>
      </c>
      <c r="G17" s="6">
        <v>-1514.1538</v>
      </c>
      <c r="H17" s="6">
        <v>5416.6350000000002</v>
      </c>
    </row>
    <row r="18" spans="2:8" x14ac:dyDescent="0.4">
      <c r="B18">
        <v>3</v>
      </c>
      <c r="C18">
        <v>7075</v>
      </c>
      <c r="D18">
        <v>1.7</v>
      </c>
      <c r="E18">
        <v>230</v>
      </c>
      <c r="F18" s="6">
        <v>3996.0191</v>
      </c>
      <c r="G18" s="6">
        <v>-1515.9208000000001</v>
      </c>
      <c r="H18" s="6">
        <v>5516.5941000000003</v>
      </c>
    </row>
    <row r="19" spans="2:8" x14ac:dyDescent="0.4">
      <c r="B19">
        <v>4</v>
      </c>
      <c r="C19">
        <v>7175</v>
      </c>
      <c r="D19">
        <v>1.2</v>
      </c>
      <c r="E19">
        <v>22</v>
      </c>
      <c r="F19" s="6">
        <v>3995.3137000000002</v>
      </c>
      <c r="G19" s="6">
        <v>-1518.5822000000001</v>
      </c>
      <c r="H19" s="6">
        <v>5616.5554000000002</v>
      </c>
    </row>
    <row r="20" spans="2:8" x14ac:dyDescent="0.4">
      <c r="B20">
        <v>5</v>
      </c>
      <c r="C20">
        <v>7275</v>
      </c>
      <c r="D20">
        <v>0.7</v>
      </c>
      <c r="E20">
        <v>336</v>
      </c>
      <c r="F20" s="6">
        <v>3994.6781999999998</v>
      </c>
      <c r="G20" s="6">
        <v>-1521.3203000000001</v>
      </c>
      <c r="H20" s="6">
        <v>5716.5159000000003</v>
      </c>
    </row>
    <row r="21" spans="2:8" x14ac:dyDescent="0.4">
      <c r="B21">
        <v>6</v>
      </c>
      <c r="C21">
        <v>7375</v>
      </c>
      <c r="D21">
        <v>2.8</v>
      </c>
      <c r="E21">
        <v>245</v>
      </c>
      <c r="F21" s="6">
        <v>3994.0218</v>
      </c>
      <c r="G21" s="6">
        <v>-1524.0115000000001</v>
      </c>
      <c r="H21" s="6">
        <v>5816.4771000000001</v>
      </c>
    </row>
    <row r="22" spans="2:8" x14ac:dyDescent="0.4">
      <c r="B22">
        <v>7</v>
      </c>
      <c r="C22">
        <v>7475</v>
      </c>
      <c r="D22">
        <v>2.6</v>
      </c>
      <c r="E22">
        <v>145</v>
      </c>
      <c r="F22" s="6">
        <v>3994.3454999999999</v>
      </c>
      <c r="G22" s="6">
        <v>-1526.1225999999999</v>
      </c>
      <c r="H22" s="6">
        <v>5916.4534999999996</v>
      </c>
    </row>
    <row r="23" spans="2:8" x14ac:dyDescent="0.4">
      <c r="B23">
        <v>8</v>
      </c>
      <c r="C23">
        <v>7575</v>
      </c>
      <c r="D23">
        <v>3.9</v>
      </c>
      <c r="E23">
        <v>100</v>
      </c>
      <c r="F23" s="6">
        <v>3995.3986</v>
      </c>
      <c r="G23" s="6">
        <v>-1527.5968</v>
      </c>
      <c r="H23" s="6">
        <v>6016.4371000000001</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7866F-77B6-459F-BF95-2DE9204CD0C8}">
  <dimension ref="A1:H18"/>
  <sheetViews>
    <sheetView workbookViewId="0">
      <selection activeCell="C27" sqref="C27"/>
    </sheetView>
  </sheetViews>
  <sheetFormatPr defaultRowHeight="18.75" x14ac:dyDescent="0.4"/>
  <cols>
    <col min="1" max="1" width="10.75" bestFit="1" customWidth="1"/>
  </cols>
  <sheetData>
    <row r="1" spans="1:8" x14ac:dyDescent="0.4">
      <c r="A1" t="s">
        <v>27</v>
      </c>
    </row>
    <row r="2" spans="1:8" x14ac:dyDescent="0.4">
      <c r="B2" t="s">
        <v>7</v>
      </c>
    </row>
    <row r="3" spans="1:8" x14ac:dyDescent="0.4">
      <c r="B3" t="s">
        <v>8</v>
      </c>
    </row>
    <row r="4" spans="1:8" x14ac:dyDescent="0.4">
      <c r="B4" t="s">
        <v>9</v>
      </c>
    </row>
    <row r="5" spans="1:8" x14ac:dyDescent="0.4">
      <c r="B5" t="s">
        <v>10</v>
      </c>
    </row>
    <row r="6" spans="1:8" x14ac:dyDescent="0.4">
      <c r="B6" t="s">
        <v>11</v>
      </c>
    </row>
    <row r="7" spans="1:8" x14ac:dyDescent="0.4">
      <c r="B7" t="s">
        <v>12</v>
      </c>
    </row>
    <row r="8" spans="1:8" x14ac:dyDescent="0.4">
      <c r="B8" t="s">
        <v>28</v>
      </c>
    </row>
    <row r="10" spans="1:8" x14ac:dyDescent="0.4">
      <c r="B10" t="s">
        <v>29</v>
      </c>
    </row>
    <row r="12" spans="1:8" x14ac:dyDescent="0.4">
      <c r="A12" s="3">
        <v>44665</v>
      </c>
      <c r="B12" t="s">
        <v>21</v>
      </c>
    </row>
    <row r="13" spans="1:8" x14ac:dyDescent="0.4">
      <c r="B13" t="s">
        <v>88</v>
      </c>
      <c r="G13" s="4">
        <v>0.7402777777777777</v>
      </c>
      <c r="H13" t="s">
        <v>51</v>
      </c>
    </row>
    <row r="15" spans="1:8" x14ac:dyDescent="0.4">
      <c r="B15" t="s">
        <v>25</v>
      </c>
      <c r="C15" t="s">
        <v>30</v>
      </c>
      <c r="D15" t="s">
        <v>92</v>
      </c>
      <c r="E15" t="s">
        <v>93</v>
      </c>
      <c r="F15" t="s">
        <v>94</v>
      </c>
    </row>
    <row r="16" spans="1:8" x14ac:dyDescent="0.4">
      <c r="B16">
        <v>1</v>
      </c>
      <c r="C16" s="1">
        <v>3151.6</v>
      </c>
      <c r="D16">
        <v>3739.01</v>
      </c>
      <c r="E16">
        <v>-1481.96</v>
      </c>
      <c r="F16">
        <v>2981.34</v>
      </c>
    </row>
    <row r="17" spans="2:6" x14ac:dyDescent="0.4">
      <c r="B17">
        <v>2</v>
      </c>
      <c r="C17" s="1">
        <v>3200.8</v>
      </c>
      <c r="D17">
        <v>3739.01</v>
      </c>
      <c r="E17">
        <v>-1481.96</v>
      </c>
      <c r="F17">
        <v>3030.54</v>
      </c>
    </row>
    <row r="18" spans="2:6" x14ac:dyDescent="0.4">
      <c r="B18">
        <v>3</v>
      </c>
      <c r="C18" s="1">
        <v>3250</v>
      </c>
      <c r="D18">
        <v>3739.01</v>
      </c>
      <c r="E18">
        <v>-1481.96</v>
      </c>
      <c r="F18">
        <v>3079.74</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9E66F-1270-4E25-8946-7CB8662F0049}">
  <dimension ref="A1:H71"/>
  <sheetViews>
    <sheetView topLeftCell="A49" workbookViewId="0">
      <selection activeCell="J31" sqref="J31"/>
    </sheetView>
  </sheetViews>
  <sheetFormatPr defaultRowHeight="18.75" x14ac:dyDescent="0.4"/>
  <cols>
    <col min="1" max="1" width="10.75" bestFit="1" customWidth="1"/>
  </cols>
  <sheetData>
    <row r="1" spans="1:8" x14ac:dyDescent="0.4">
      <c r="A1" t="s">
        <v>13</v>
      </c>
    </row>
    <row r="2" spans="1:8" x14ac:dyDescent="0.4">
      <c r="B2" t="s">
        <v>14</v>
      </c>
    </row>
    <row r="3" spans="1:8" x14ac:dyDescent="0.4">
      <c r="B3" t="s">
        <v>101</v>
      </c>
      <c r="D3">
        <f>3250/40</f>
        <v>81.25</v>
      </c>
      <c r="E3" t="s">
        <v>42</v>
      </c>
    </row>
    <row r="6" spans="1:8" x14ac:dyDescent="0.4">
      <c r="A6" s="3">
        <v>44665</v>
      </c>
      <c r="B6" t="s">
        <v>127</v>
      </c>
    </row>
    <row r="7" spans="1:8" x14ac:dyDescent="0.4">
      <c r="B7" t="s">
        <v>102</v>
      </c>
      <c r="G7" s="4">
        <v>0.7402777777777777</v>
      </c>
      <c r="H7" t="s">
        <v>51</v>
      </c>
    </row>
    <row r="8" spans="1:8" x14ac:dyDescent="0.4">
      <c r="F8" t="s">
        <v>122</v>
      </c>
    </row>
    <row r="9" spans="1:8" x14ac:dyDescent="0.4">
      <c r="B9" t="s">
        <v>31</v>
      </c>
      <c r="C9" t="s">
        <v>67</v>
      </c>
      <c r="D9" t="s">
        <v>68</v>
      </c>
      <c r="E9" t="s">
        <v>92</v>
      </c>
      <c r="F9" t="s">
        <v>93</v>
      </c>
      <c r="G9" t="s">
        <v>94</v>
      </c>
    </row>
    <row r="10" spans="1:8" x14ac:dyDescent="0.4">
      <c r="B10">
        <v>1</v>
      </c>
      <c r="C10" s="6">
        <v>0</v>
      </c>
      <c r="D10" s="6">
        <v>0</v>
      </c>
      <c r="E10">
        <v>3739.01</v>
      </c>
      <c r="F10">
        <v>-1481.96</v>
      </c>
      <c r="G10">
        <v>-170.26</v>
      </c>
    </row>
    <row r="11" spans="1:8" x14ac:dyDescent="0.4">
      <c r="B11">
        <v>2</v>
      </c>
      <c r="C11" s="6">
        <f>D11*0.3048</f>
        <v>24.765000000000001</v>
      </c>
      <c r="D11" s="6">
        <f>D10+D$3</f>
        <v>81.25</v>
      </c>
      <c r="E11">
        <v>3739.01</v>
      </c>
      <c r="F11">
        <v>-1481.96</v>
      </c>
      <c r="G11">
        <v>-89.01</v>
      </c>
    </row>
    <row r="12" spans="1:8" x14ac:dyDescent="0.4">
      <c r="B12">
        <v>3</v>
      </c>
      <c r="C12" s="6">
        <v>49.8</v>
      </c>
      <c r="D12" s="6">
        <f>D11+D$3</f>
        <v>162.5</v>
      </c>
      <c r="E12">
        <v>3739.01</v>
      </c>
      <c r="F12">
        <v>-1481.96</v>
      </c>
      <c r="G12">
        <v>-7.76</v>
      </c>
    </row>
    <row r="13" spans="1:8" x14ac:dyDescent="0.4">
      <c r="B13">
        <v>4</v>
      </c>
      <c r="C13" s="6">
        <v>74.3</v>
      </c>
      <c r="D13" s="6">
        <f t="shared" ref="D13:D50" si="0">D12+D$3</f>
        <v>243.75</v>
      </c>
      <c r="E13">
        <v>3739.01</v>
      </c>
      <c r="F13">
        <v>-1481.96</v>
      </c>
      <c r="G13">
        <v>73.489999999999995</v>
      </c>
    </row>
    <row r="14" spans="1:8" x14ac:dyDescent="0.4">
      <c r="B14">
        <v>5</v>
      </c>
      <c r="C14" s="6">
        <v>99</v>
      </c>
      <c r="D14" s="6">
        <f t="shared" si="0"/>
        <v>325</v>
      </c>
      <c r="E14">
        <v>3739.01</v>
      </c>
      <c r="F14">
        <v>-1481.96</v>
      </c>
      <c r="G14">
        <v>154.74</v>
      </c>
    </row>
    <row r="15" spans="1:8" x14ac:dyDescent="0.4">
      <c r="B15">
        <v>6</v>
      </c>
      <c r="C15" s="6">
        <v>123.7</v>
      </c>
      <c r="D15" s="6">
        <f t="shared" si="0"/>
        <v>406.25</v>
      </c>
      <c r="E15">
        <v>3739.01</v>
      </c>
      <c r="F15">
        <v>-1481.96</v>
      </c>
      <c r="G15">
        <v>235.99</v>
      </c>
    </row>
    <row r="16" spans="1:8" x14ac:dyDescent="0.4">
      <c r="B16">
        <v>7</v>
      </c>
      <c r="C16" s="6">
        <v>148.4</v>
      </c>
      <c r="D16" s="6">
        <f t="shared" si="0"/>
        <v>487.5</v>
      </c>
      <c r="E16">
        <v>3739.01</v>
      </c>
      <c r="F16">
        <v>-1481.96</v>
      </c>
      <c r="G16">
        <v>317.24</v>
      </c>
    </row>
    <row r="17" spans="2:7" x14ac:dyDescent="0.4">
      <c r="B17">
        <v>8</v>
      </c>
      <c r="C17" s="6">
        <v>173.1</v>
      </c>
      <c r="D17" s="6">
        <f t="shared" si="0"/>
        <v>568.75</v>
      </c>
      <c r="E17">
        <v>3739.01</v>
      </c>
      <c r="F17">
        <v>-1481.96</v>
      </c>
      <c r="G17">
        <v>398.49</v>
      </c>
    </row>
    <row r="18" spans="2:7" x14ac:dyDescent="0.4">
      <c r="B18">
        <v>9</v>
      </c>
      <c r="C18" s="6">
        <v>197.8</v>
      </c>
      <c r="D18" s="6">
        <f t="shared" si="0"/>
        <v>650</v>
      </c>
      <c r="E18">
        <v>3739.01</v>
      </c>
      <c r="F18">
        <v>-1481.96</v>
      </c>
      <c r="G18">
        <v>479.74</v>
      </c>
    </row>
    <row r="19" spans="2:7" x14ac:dyDescent="0.4">
      <c r="B19">
        <v>10</v>
      </c>
      <c r="C19" s="6">
        <v>222.5</v>
      </c>
      <c r="D19" s="6">
        <f t="shared" si="0"/>
        <v>731.25</v>
      </c>
      <c r="E19">
        <v>3739.01</v>
      </c>
      <c r="F19">
        <v>-1481.96</v>
      </c>
      <c r="G19">
        <v>560.99</v>
      </c>
    </row>
    <row r="20" spans="2:7" x14ac:dyDescent="0.4">
      <c r="B20">
        <v>11</v>
      </c>
      <c r="C20" s="6">
        <v>247.2</v>
      </c>
      <c r="D20" s="6">
        <f t="shared" si="0"/>
        <v>812.5</v>
      </c>
      <c r="E20">
        <v>3739.01</v>
      </c>
      <c r="F20">
        <v>-1481.96</v>
      </c>
      <c r="G20">
        <v>642.24</v>
      </c>
    </row>
    <row r="21" spans="2:7" x14ac:dyDescent="0.4">
      <c r="B21">
        <v>12</v>
      </c>
      <c r="C21" s="6">
        <v>271.89999999999998</v>
      </c>
      <c r="D21" s="6">
        <f t="shared" si="0"/>
        <v>893.75</v>
      </c>
      <c r="E21">
        <v>3739.01</v>
      </c>
      <c r="F21">
        <v>-1481.96</v>
      </c>
      <c r="G21">
        <v>723.49</v>
      </c>
    </row>
    <row r="22" spans="2:7" x14ac:dyDescent="0.4">
      <c r="B22">
        <v>13</v>
      </c>
      <c r="C22" s="6">
        <v>296.60000000000002</v>
      </c>
      <c r="D22" s="6">
        <f t="shared" si="0"/>
        <v>975</v>
      </c>
      <c r="E22">
        <v>3739.01</v>
      </c>
      <c r="F22">
        <v>-1481.96</v>
      </c>
      <c r="G22">
        <v>804.74</v>
      </c>
    </row>
    <row r="23" spans="2:7" x14ac:dyDescent="0.4">
      <c r="B23">
        <v>14</v>
      </c>
      <c r="C23" s="6">
        <v>321.3</v>
      </c>
      <c r="D23" s="6">
        <f t="shared" si="0"/>
        <v>1056.25</v>
      </c>
      <c r="E23">
        <v>3739.01</v>
      </c>
      <c r="F23">
        <v>-1481.96</v>
      </c>
      <c r="G23">
        <v>885.99</v>
      </c>
    </row>
    <row r="24" spans="2:7" x14ac:dyDescent="0.4">
      <c r="B24">
        <v>15</v>
      </c>
      <c r="C24" s="6">
        <v>346</v>
      </c>
      <c r="D24" s="6">
        <f t="shared" si="0"/>
        <v>1137.5</v>
      </c>
      <c r="E24">
        <v>3739.01</v>
      </c>
      <c r="F24">
        <v>-1481.96</v>
      </c>
      <c r="G24">
        <v>967.24</v>
      </c>
    </row>
    <row r="25" spans="2:7" x14ac:dyDescent="0.4">
      <c r="B25">
        <v>16</v>
      </c>
      <c r="C25" s="6">
        <v>370.7</v>
      </c>
      <c r="D25" s="6">
        <f t="shared" si="0"/>
        <v>1218.75</v>
      </c>
      <c r="E25">
        <v>3739.01</v>
      </c>
      <c r="F25">
        <v>-1481.96</v>
      </c>
      <c r="G25">
        <v>1048.49</v>
      </c>
    </row>
    <row r="26" spans="2:7" x14ac:dyDescent="0.4">
      <c r="B26">
        <v>17</v>
      </c>
      <c r="C26" s="6">
        <v>395.4</v>
      </c>
      <c r="D26" s="6">
        <f t="shared" si="0"/>
        <v>1300</v>
      </c>
      <c r="E26">
        <v>3739.01</v>
      </c>
      <c r="F26">
        <v>-1481.96</v>
      </c>
      <c r="G26">
        <v>1129.74</v>
      </c>
    </row>
    <row r="27" spans="2:7" x14ac:dyDescent="0.4">
      <c r="B27">
        <v>18</v>
      </c>
      <c r="C27" s="6">
        <v>420.1</v>
      </c>
      <c r="D27" s="6">
        <f t="shared" si="0"/>
        <v>1381.25</v>
      </c>
      <c r="E27">
        <v>3739.01</v>
      </c>
      <c r="F27">
        <v>-1481.96</v>
      </c>
      <c r="G27">
        <v>1210.99</v>
      </c>
    </row>
    <row r="28" spans="2:7" x14ac:dyDescent="0.4">
      <c r="B28">
        <v>19</v>
      </c>
      <c r="C28" s="6">
        <v>444.8</v>
      </c>
      <c r="D28" s="6">
        <f t="shared" si="0"/>
        <v>1462.5</v>
      </c>
      <c r="E28">
        <v>3739.01</v>
      </c>
      <c r="F28">
        <v>-1481.96</v>
      </c>
      <c r="G28">
        <v>1292.24</v>
      </c>
    </row>
    <row r="29" spans="2:7" x14ac:dyDescent="0.4">
      <c r="B29">
        <v>20</v>
      </c>
      <c r="C29" s="6">
        <v>469.5</v>
      </c>
      <c r="D29" s="6">
        <f t="shared" si="0"/>
        <v>1543.75</v>
      </c>
      <c r="E29">
        <v>3739.01</v>
      </c>
      <c r="F29">
        <v>-1481.96</v>
      </c>
      <c r="G29">
        <v>1373.49</v>
      </c>
    </row>
    <row r="30" spans="2:7" x14ac:dyDescent="0.4">
      <c r="B30">
        <v>21</v>
      </c>
      <c r="C30" s="6">
        <v>494.2</v>
      </c>
      <c r="D30" s="6">
        <f t="shared" si="0"/>
        <v>1625</v>
      </c>
      <c r="E30">
        <v>3739.01</v>
      </c>
      <c r="F30">
        <v>-1481.96</v>
      </c>
      <c r="G30">
        <v>1454.74</v>
      </c>
    </row>
    <row r="31" spans="2:7" x14ac:dyDescent="0.4">
      <c r="B31">
        <v>22</v>
      </c>
      <c r="C31" s="6">
        <v>518.9</v>
      </c>
      <c r="D31" s="6">
        <f t="shared" si="0"/>
        <v>1706.25</v>
      </c>
      <c r="E31">
        <v>3739.01</v>
      </c>
      <c r="F31">
        <v>-1481.96</v>
      </c>
      <c r="G31">
        <v>1535.99</v>
      </c>
    </row>
    <row r="32" spans="2:7" x14ac:dyDescent="0.4">
      <c r="B32">
        <v>23</v>
      </c>
      <c r="C32" s="6">
        <v>543.6</v>
      </c>
      <c r="D32" s="6">
        <f t="shared" si="0"/>
        <v>1787.5</v>
      </c>
      <c r="E32">
        <v>3739.01</v>
      </c>
      <c r="F32">
        <v>-1481.96</v>
      </c>
      <c r="G32">
        <v>1617.24</v>
      </c>
    </row>
    <row r="33" spans="2:7" x14ac:dyDescent="0.4">
      <c r="B33">
        <v>24</v>
      </c>
      <c r="C33" s="6">
        <v>568.29999999999995</v>
      </c>
      <c r="D33" s="6">
        <f t="shared" si="0"/>
        <v>1868.75</v>
      </c>
      <c r="E33">
        <v>3739.01</v>
      </c>
      <c r="F33">
        <v>-1481.96</v>
      </c>
      <c r="G33">
        <v>1698.49</v>
      </c>
    </row>
    <row r="34" spans="2:7" x14ac:dyDescent="0.4">
      <c r="B34">
        <v>25</v>
      </c>
      <c r="C34" s="6">
        <v>593</v>
      </c>
      <c r="D34" s="6">
        <f t="shared" si="0"/>
        <v>1950</v>
      </c>
      <c r="E34">
        <v>3739.01</v>
      </c>
      <c r="F34">
        <v>-1481.96</v>
      </c>
      <c r="G34">
        <v>1779.74</v>
      </c>
    </row>
    <row r="35" spans="2:7" x14ac:dyDescent="0.4">
      <c r="B35">
        <v>26</v>
      </c>
      <c r="C35" s="6">
        <v>617.70000000000005</v>
      </c>
      <c r="D35" s="6">
        <f t="shared" si="0"/>
        <v>2031.25</v>
      </c>
      <c r="E35">
        <v>3739.01</v>
      </c>
      <c r="F35">
        <v>-1481.96</v>
      </c>
      <c r="G35">
        <v>1860.99</v>
      </c>
    </row>
    <row r="36" spans="2:7" x14ac:dyDescent="0.4">
      <c r="B36">
        <v>27</v>
      </c>
      <c r="C36" s="6">
        <v>642.4</v>
      </c>
      <c r="D36" s="6">
        <f t="shared" si="0"/>
        <v>2112.5</v>
      </c>
      <c r="E36">
        <v>3739.01</v>
      </c>
      <c r="F36">
        <v>-1481.96</v>
      </c>
      <c r="G36">
        <v>1942.24</v>
      </c>
    </row>
    <row r="37" spans="2:7" x14ac:dyDescent="0.4">
      <c r="B37">
        <v>28</v>
      </c>
      <c r="C37" s="6">
        <v>667.1</v>
      </c>
      <c r="D37" s="6">
        <f t="shared" si="0"/>
        <v>2193.75</v>
      </c>
      <c r="E37">
        <v>3739.01</v>
      </c>
      <c r="F37">
        <v>-1481.96</v>
      </c>
      <c r="G37">
        <v>2023.49</v>
      </c>
    </row>
    <row r="38" spans="2:7" x14ac:dyDescent="0.4">
      <c r="B38">
        <v>29</v>
      </c>
      <c r="C38" s="6">
        <v>691.8</v>
      </c>
      <c r="D38" s="6">
        <f t="shared" si="0"/>
        <v>2275</v>
      </c>
      <c r="E38">
        <v>3739.01</v>
      </c>
      <c r="F38">
        <v>-1481.96</v>
      </c>
      <c r="G38">
        <v>2104.7399999999998</v>
      </c>
    </row>
    <row r="39" spans="2:7" x14ac:dyDescent="0.4">
      <c r="B39">
        <v>30</v>
      </c>
      <c r="C39" s="6">
        <v>716.5</v>
      </c>
      <c r="D39" s="6">
        <f t="shared" si="0"/>
        <v>2356.25</v>
      </c>
      <c r="E39">
        <v>3739.01</v>
      </c>
      <c r="F39">
        <v>-1481.96</v>
      </c>
      <c r="G39">
        <v>2185.9899999999998</v>
      </c>
    </row>
    <row r="40" spans="2:7" x14ac:dyDescent="0.4">
      <c r="B40">
        <v>31</v>
      </c>
      <c r="C40" s="6">
        <v>741.2</v>
      </c>
      <c r="D40" s="6">
        <f t="shared" si="0"/>
        <v>2437.5</v>
      </c>
      <c r="E40">
        <v>3739.01</v>
      </c>
      <c r="F40">
        <v>-1481.96</v>
      </c>
      <c r="G40">
        <v>2267.2399999999998</v>
      </c>
    </row>
    <row r="41" spans="2:7" x14ac:dyDescent="0.4">
      <c r="B41">
        <v>32</v>
      </c>
      <c r="C41" s="6">
        <v>765.9</v>
      </c>
      <c r="D41" s="6">
        <f t="shared" si="0"/>
        <v>2518.75</v>
      </c>
      <c r="E41">
        <v>3739.01</v>
      </c>
      <c r="F41">
        <v>-1481.96</v>
      </c>
      <c r="G41">
        <v>2348.4899999999998</v>
      </c>
    </row>
    <row r="42" spans="2:7" x14ac:dyDescent="0.4">
      <c r="B42">
        <v>33</v>
      </c>
      <c r="C42" s="6">
        <v>790.6</v>
      </c>
      <c r="D42" s="6">
        <f t="shared" si="0"/>
        <v>2600</v>
      </c>
      <c r="E42">
        <v>3739.01</v>
      </c>
      <c r="F42">
        <v>-1481.96</v>
      </c>
      <c r="G42">
        <v>2429.7399999999998</v>
      </c>
    </row>
    <row r="43" spans="2:7" x14ac:dyDescent="0.4">
      <c r="B43">
        <v>34</v>
      </c>
      <c r="C43" s="6">
        <v>815.3</v>
      </c>
      <c r="D43" s="6">
        <f t="shared" si="0"/>
        <v>2681.25</v>
      </c>
      <c r="E43">
        <v>3739.01</v>
      </c>
      <c r="F43">
        <v>-1481.96</v>
      </c>
      <c r="G43">
        <v>2510.9899999999998</v>
      </c>
    </row>
    <row r="44" spans="2:7" x14ac:dyDescent="0.4">
      <c r="B44">
        <v>35</v>
      </c>
      <c r="C44" s="6">
        <v>840</v>
      </c>
      <c r="D44" s="6">
        <f t="shared" si="0"/>
        <v>2762.5</v>
      </c>
      <c r="E44">
        <v>3739.01</v>
      </c>
      <c r="F44">
        <v>-1481.96</v>
      </c>
      <c r="G44">
        <v>2592.2399999999998</v>
      </c>
    </row>
    <row r="45" spans="2:7" x14ac:dyDescent="0.4">
      <c r="B45">
        <v>36</v>
      </c>
      <c r="C45" s="6">
        <v>864.7</v>
      </c>
      <c r="D45" s="6">
        <f t="shared" si="0"/>
        <v>2843.75</v>
      </c>
      <c r="E45">
        <v>3739.01</v>
      </c>
      <c r="F45">
        <v>-1481.96</v>
      </c>
      <c r="G45">
        <v>2673.49</v>
      </c>
    </row>
    <row r="46" spans="2:7" x14ac:dyDescent="0.4">
      <c r="B46">
        <v>37</v>
      </c>
      <c r="C46" s="6">
        <v>889.4</v>
      </c>
      <c r="D46" s="6">
        <f t="shared" si="0"/>
        <v>2925</v>
      </c>
      <c r="E46">
        <v>3739.01</v>
      </c>
      <c r="F46">
        <v>-1481.96</v>
      </c>
      <c r="G46">
        <v>2754.74</v>
      </c>
    </row>
    <row r="47" spans="2:7" x14ac:dyDescent="0.4">
      <c r="B47">
        <v>38</v>
      </c>
      <c r="C47" s="6">
        <v>914.1</v>
      </c>
      <c r="D47" s="6">
        <f t="shared" si="0"/>
        <v>3006.25</v>
      </c>
      <c r="E47">
        <v>3739.01</v>
      </c>
      <c r="F47">
        <v>-1481.96</v>
      </c>
      <c r="G47">
        <v>2835.99</v>
      </c>
    </row>
    <row r="48" spans="2:7" x14ac:dyDescent="0.4">
      <c r="B48">
        <v>39</v>
      </c>
      <c r="C48" s="6">
        <v>938.8</v>
      </c>
      <c r="D48" s="6">
        <f t="shared" si="0"/>
        <v>3087.5</v>
      </c>
      <c r="E48">
        <v>3739.01</v>
      </c>
      <c r="F48">
        <v>-1481.96</v>
      </c>
      <c r="G48">
        <v>2917.24</v>
      </c>
    </row>
    <row r="49" spans="2:7" x14ac:dyDescent="0.4">
      <c r="B49">
        <v>40</v>
      </c>
      <c r="C49" s="6">
        <v>963.5</v>
      </c>
      <c r="D49" s="6">
        <f t="shared" si="0"/>
        <v>3168.75</v>
      </c>
      <c r="E49">
        <v>3739.01</v>
      </c>
      <c r="F49">
        <v>-1481.96</v>
      </c>
      <c r="G49">
        <v>2998.49</v>
      </c>
    </row>
    <row r="50" spans="2:7" x14ac:dyDescent="0.4">
      <c r="B50">
        <v>41</v>
      </c>
      <c r="C50" s="6">
        <v>988.2</v>
      </c>
      <c r="D50" s="6">
        <f t="shared" si="0"/>
        <v>3250</v>
      </c>
      <c r="E50">
        <v>3739.01</v>
      </c>
      <c r="F50">
        <v>-1481.96</v>
      </c>
      <c r="G50">
        <v>3079.74</v>
      </c>
    </row>
    <row r="51" spans="2:7" x14ac:dyDescent="0.4">
      <c r="B51">
        <v>42</v>
      </c>
      <c r="C51" t="s">
        <v>69</v>
      </c>
    </row>
    <row r="53" spans="2:7" x14ac:dyDescent="0.4">
      <c r="B53" t="s">
        <v>71</v>
      </c>
      <c r="D53" s="6">
        <f>3151.6-5/0.3048</f>
        <v>3135.1958005249344</v>
      </c>
      <c r="F53" t="s">
        <v>72</v>
      </c>
    </row>
    <row r="54" spans="2:7" x14ac:dyDescent="0.4">
      <c r="B54" t="s">
        <v>70</v>
      </c>
      <c r="D54">
        <v>3151.6</v>
      </c>
    </row>
    <row r="58" spans="2:7" x14ac:dyDescent="0.4">
      <c r="B58" t="s">
        <v>83</v>
      </c>
    </row>
    <row r="59" spans="2:7" x14ac:dyDescent="0.4">
      <c r="B59" s="7" t="s">
        <v>73</v>
      </c>
    </row>
    <row r="60" spans="2:7" x14ac:dyDescent="0.4">
      <c r="B60" s="7"/>
    </row>
    <row r="61" spans="2:7" x14ac:dyDescent="0.4">
      <c r="B61" s="7" t="s">
        <v>74</v>
      </c>
    </row>
    <row r="62" spans="2:7" x14ac:dyDescent="0.4">
      <c r="B62" s="7"/>
    </row>
    <row r="63" spans="2:7" x14ac:dyDescent="0.4">
      <c r="B63" s="7" t="s">
        <v>75</v>
      </c>
    </row>
    <row r="64" spans="2:7" x14ac:dyDescent="0.4">
      <c r="B64" s="7" t="s">
        <v>76</v>
      </c>
    </row>
    <row r="65" spans="2:2" x14ac:dyDescent="0.4">
      <c r="B65" s="7" t="s">
        <v>77</v>
      </c>
    </row>
    <row r="66" spans="2:2" x14ac:dyDescent="0.4">
      <c r="B66" s="7" t="s">
        <v>78</v>
      </c>
    </row>
    <row r="67" spans="2:2" x14ac:dyDescent="0.4">
      <c r="B67" s="7" t="s">
        <v>79</v>
      </c>
    </row>
    <row r="68" spans="2:2" x14ac:dyDescent="0.4">
      <c r="B68" s="7" t="s">
        <v>79</v>
      </c>
    </row>
    <row r="69" spans="2:2" x14ac:dyDescent="0.4">
      <c r="B69" s="7" t="s">
        <v>80</v>
      </c>
    </row>
    <row r="70" spans="2:2" x14ac:dyDescent="0.4">
      <c r="B70" s="7" t="s">
        <v>81</v>
      </c>
    </row>
    <row r="71" spans="2:2" x14ac:dyDescent="0.4">
      <c r="B71" s="7" t="s">
        <v>82</v>
      </c>
    </row>
  </sheetData>
  <phoneticPr fontId="2"/>
  <pageMargins left="0.7" right="0.7" top="0.75" bottom="0.75" header="0.3" footer="0.3"/>
  <pageSetup paperSize="9" orientation="portrait" verticalDpi="597"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25386-715A-47C2-8A38-4006EDCDCE0B}">
  <dimension ref="A1:Q81"/>
  <sheetViews>
    <sheetView tabSelected="1" topLeftCell="A16" zoomScaleNormal="100" workbookViewId="0">
      <selection activeCell="F19" sqref="F19"/>
    </sheetView>
  </sheetViews>
  <sheetFormatPr defaultRowHeight="18.75" x14ac:dyDescent="0.4"/>
  <cols>
    <col min="1" max="1" width="10.75" bestFit="1" customWidth="1"/>
    <col min="5" max="5" width="10.125" customWidth="1"/>
  </cols>
  <sheetData>
    <row r="1" spans="1:13" x14ac:dyDescent="0.4">
      <c r="A1" t="s">
        <v>15</v>
      </c>
    </row>
    <row r="2" spans="1:13" x14ac:dyDescent="0.4">
      <c r="B2" t="s">
        <v>16</v>
      </c>
    </row>
    <row r="3" spans="1:13" x14ac:dyDescent="0.4">
      <c r="B3" t="s">
        <v>17</v>
      </c>
    </row>
    <row r="5" spans="1:13" x14ac:dyDescent="0.4">
      <c r="B5" t="s">
        <v>18</v>
      </c>
    </row>
    <row r="8" spans="1:13" x14ac:dyDescent="0.4">
      <c r="A8" s="3">
        <v>44667</v>
      </c>
      <c r="B8" t="s">
        <v>21</v>
      </c>
      <c r="E8" t="s">
        <v>66</v>
      </c>
    </row>
    <row r="9" spans="1:13" x14ac:dyDescent="0.4">
      <c r="A9" s="3"/>
      <c r="B9" t="s">
        <v>89</v>
      </c>
      <c r="D9" s="4">
        <v>0.17916666666666667</v>
      </c>
      <c r="E9" t="s">
        <v>53</v>
      </c>
      <c r="F9" t="s">
        <v>91</v>
      </c>
    </row>
    <row r="10" spans="1:13" x14ac:dyDescent="0.4">
      <c r="A10" s="3"/>
    </row>
    <row r="11" spans="1:13" x14ac:dyDescent="0.4">
      <c r="B11" t="s">
        <v>90</v>
      </c>
    </row>
    <row r="13" spans="1:13" x14ac:dyDescent="0.4">
      <c r="B13" t="s">
        <v>34</v>
      </c>
    </row>
    <row r="15" spans="1:13" x14ac:dyDescent="0.4">
      <c r="C15" t="s">
        <v>37</v>
      </c>
      <c r="D15" t="s">
        <v>38</v>
      </c>
      <c r="E15" t="s">
        <v>35</v>
      </c>
      <c r="F15" t="s">
        <v>36</v>
      </c>
      <c r="G15" t="s">
        <v>43</v>
      </c>
      <c r="L15" t="s">
        <v>49</v>
      </c>
      <c r="M15" t="s">
        <v>40</v>
      </c>
    </row>
    <row r="16" spans="1:13" x14ac:dyDescent="0.4">
      <c r="B16" t="s">
        <v>33</v>
      </c>
      <c r="C16">
        <v>1093.8</v>
      </c>
      <c r="D16">
        <f>C16/0.3048</f>
        <v>3588.5826771653542</v>
      </c>
      <c r="E16" t="s">
        <v>110</v>
      </c>
      <c r="F16">
        <v>91</v>
      </c>
      <c r="I16" t="s">
        <v>39</v>
      </c>
      <c r="K16">
        <f>D17-D16</f>
        <v>3247.7034120734902</v>
      </c>
      <c r="L16">
        <f>F17-F16+1</f>
        <v>971</v>
      </c>
      <c r="M16">
        <f>K16/(L16-1)</f>
        <v>3.3481478474984434</v>
      </c>
    </row>
    <row r="17" spans="1:17" x14ac:dyDescent="0.4">
      <c r="C17">
        <v>2083.6999999999998</v>
      </c>
      <c r="D17">
        <f>C17/0.3048</f>
        <v>6836.2860892388444</v>
      </c>
      <c r="E17" t="s">
        <v>109</v>
      </c>
      <c r="F17">
        <v>1061</v>
      </c>
      <c r="G17">
        <f>F17-780</f>
        <v>281</v>
      </c>
      <c r="Q17">
        <f>3434.8-1093.8</f>
        <v>2341</v>
      </c>
    </row>
    <row r="18" spans="1:17" x14ac:dyDescent="0.4">
      <c r="Q18">
        <f>3434.8-2241.4</f>
        <v>1193.4000000000001</v>
      </c>
    </row>
    <row r="19" spans="1:17" x14ac:dyDescent="0.4">
      <c r="B19" t="s">
        <v>32</v>
      </c>
      <c r="C19">
        <v>2241.4</v>
      </c>
      <c r="D19">
        <f>C19/0.3048</f>
        <v>7353.6745406824148</v>
      </c>
      <c r="E19" t="s">
        <v>108</v>
      </c>
      <c r="F19">
        <v>1215</v>
      </c>
      <c r="K19">
        <f>D20-D19</f>
        <v>3915.3543307086611</v>
      </c>
      <c r="L19">
        <f>F20-F19+1</f>
        <v>1170</v>
      </c>
      <c r="M19">
        <f>K19/(L19-1)</f>
        <v>3.3493193590322163</v>
      </c>
    </row>
    <row r="20" spans="1:17" x14ac:dyDescent="0.4">
      <c r="C20">
        <v>3434.8</v>
      </c>
      <c r="D20">
        <f>C20/0.3048</f>
        <v>11269.028871391076</v>
      </c>
      <c r="E20" t="s">
        <v>107</v>
      </c>
      <c r="F20" s="8">
        <v>2384</v>
      </c>
      <c r="O20">
        <f>2384-1215</f>
        <v>1169</v>
      </c>
    </row>
    <row r="23" spans="1:17" x14ac:dyDescent="0.4">
      <c r="B23" t="s">
        <v>41</v>
      </c>
      <c r="D23">
        <v>2616</v>
      </c>
      <c r="E23" t="s">
        <v>42</v>
      </c>
      <c r="F23" t="s">
        <v>46</v>
      </c>
      <c r="I23">
        <f>D23*0.3048</f>
        <v>797.35680000000002</v>
      </c>
      <c r="J23" t="s">
        <v>52</v>
      </c>
    </row>
    <row r="24" spans="1:17" x14ac:dyDescent="0.4">
      <c r="D24">
        <f>D23/M16</f>
        <v>781.32750378826165</v>
      </c>
    </row>
    <row r="26" spans="1:17" x14ac:dyDescent="0.4">
      <c r="A26" t="s">
        <v>105</v>
      </c>
    </row>
    <row r="27" spans="1:17" x14ac:dyDescent="0.4">
      <c r="A27" t="s">
        <v>106</v>
      </c>
    </row>
    <row r="29" spans="1:17" x14ac:dyDescent="0.4">
      <c r="E29" t="s">
        <v>41</v>
      </c>
      <c r="G29" t="s">
        <v>104</v>
      </c>
    </row>
    <row r="30" spans="1:17" x14ac:dyDescent="0.4">
      <c r="C30" t="s">
        <v>44</v>
      </c>
      <c r="D30" t="s">
        <v>42</v>
      </c>
      <c r="E30" t="s">
        <v>44</v>
      </c>
      <c r="F30" t="s">
        <v>42</v>
      </c>
      <c r="G30" s="2" t="s">
        <v>44</v>
      </c>
      <c r="H30" s="2" t="s">
        <v>42</v>
      </c>
      <c r="I30" t="s">
        <v>48</v>
      </c>
      <c r="J30" t="s">
        <v>45</v>
      </c>
      <c r="K30" t="s">
        <v>40</v>
      </c>
      <c r="M30" t="s">
        <v>47</v>
      </c>
      <c r="O30" t="s">
        <v>44</v>
      </c>
    </row>
    <row r="31" spans="1:17" x14ac:dyDescent="0.4">
      <c r="B31" t="s">
        <v>33</v>
      </c>
      <c r="C31">
        <v>1061</v>
      </c>
      <c r="D31">
        <v>0</v>
      </c>
      <c r="E31">
        <f>91+(F32-F31)/M16</f>
        <v>279.67249621173841</v>
      </c>
      <c r="F31">
        <v>2616</v>
      </c>
      <c r="G31" s="2">
        <v>280</v>
      </c>
      <c r="H31" s="2">
        <f>H32-(G31-G32)*M16</f>
        <v>2614.9034688962843</v>
      </c>
      <c r="J31">
        <f>H31+(M31-1)*M16</f>
        <v>3247.7034120734902</v>
      </c>
      <c r="K31">
        <f>M16</f>
        <v>3.3481478474984434</v>
      </c>
      <c r="M31">
        <f>G31-G32+1</f>
        <v>190</v>
      </c>
      <c r="O31">
        <v>292</v>
      </c>
      <c r="P31">
        <f>H31-12*K31</f>
        <v>2574.7256947263031</v>
      </c>
    </row>
    <row r="32" spans="1:17" x14ac:dyDescent="0.4">
      <c r="C32">
        <v>91</v>
      </c>
      <c r="D32">
        <f>K16</f>
        <v>3247.7034120734902</v>
      </c>
      <c r="E32">
        <f>C32</f>
        <v>91</v>
      </c>
      <c r="F32">
        <f>D32</f>
        <v>3247.7034120734902</v>
      </c>
      <c r="G32" s="2">
        <f>E32</f>
        <v>91</v>
      </c>
      <c r="H32" s="2">
        <f>F32</f>
        <v>3247.7034120734902</v>
      </c>
      <c r="O32">
        <v>272</v>
      </c>
      <c r="P32">
        <f>P31+(O31-O32)*K$31</f>
        <v>2641.688651676272</v>
      </c>
    </row>
    <row r="33" spans="1:16" x14ac:dyDescent="0.4">
      <c r="O33">
        <v>92</v>
      </c>
      <c r="P33">
        <f>P32+(O32-O33)*K$31</f>
        <v>3244.355264225992</v>
      </c>
    </row>
    <row r="36" spans="1:16" x14ac:dyDescent="0.4">
      <c r="B36" t="s">
        <v>32</v>
      </c>
      <c r="C36" t="s">
        <v>44</v>
      </c>
      <c r="D36" t="s">
        <v>42</v>
      </c>
      <c r="E36" t="s">
        <v>44</v>
      </c>
      <c r="F36" t="s">
        <v>42</v>
      </c>
      <c r="G36" s="2" t="s">
        <v>44</v>
      </c>
      <c r="H36" s="2" t="s">
        <v>42</v>
      </c>
      <c r="J36" t="s">
        <v>45</v>
      </c>
      <c r="O36" t="s">
        <v>44</v>
      </c>
    </row>
    <row r="37" spans="1:16" x14ac:dyDescent="0.4">
      <c r="C37">
        <f>F19</f>
        <v>1215</v>
      </c>
      <c r="D37">
        <f>D19</f>
        <v>7353.6745406824148</v>
      </c>
      <c r="E37">
        <f>E38-(F38-F37)/M19</f>
        <v>1996.0542141779788</v>
      </c>
      <c r="F37">
        <v>2616</v>
      </c>
      <c r="G37" s="2">
        <v>1940</v>
      </c>
      <c r="H37" s="2">
        <f>H38-(G38-G37)*M19</f>
        <v>2428.256535298357</v>
      </c>
      <c r="J37">
        <f>H37+(M37-1)*M19</f>
        <v>3915.3543307086611</v>
      </c>
      <c r="K37">
        <f>M19</f>
        <v>3.3493193590322163</v>
      </c>
      <c r="M37">
        <f>G38-G37+1</f>
        <v>445</v>
      </c>
      <c r="O37">
        <v>1943</v>
      </c>
      <c r="P37">
        <f>H37+3*K$37</f>
        <v>2438.3044933754536</v>
      </c>
    </row>
    <row r="38" spans="1:16" x14ac:dyDescent="0.4">
      <c r="C38">
        <f>F20</f>
        <v>2384</v>
      </c>
      <c r="D38">
        <f>D20</f>
        <v>11269.028871391076</v>
      </c>
      <c r="E38">
        <f>C38</f>
        <v>2384</v>
      </c>
      <c r="F38">
        <f>K19</f>
        <v>3915.3543307086611</v>
      </c>
      <c r="G38" s="2">
        <f>E38</f>
        <v>2384</v>
      </c>
      <c r="H38" s="2">
        <f>F38</f>
        <v>3915.3543307086611</v>
      </c>
      <c r="O38">
        <v>1963</v>
      </c>
      <c r="P38">
        <f>P37+(O38-O37)*K$37</f>
        <v>2505.2908805560978</v>
      </c>
    </row>
    <row r="39" spans="1:16" x14ac:dyDescent="0.4">
      <c r="O39">
        <v>2383</v>
      </c>
      <c r="P39">
        <f>P38+(O39-O38)*K$37</f>
        <v>3912.0050113496286</v>
      </c>
    </row>
    <row r="41" spans="1:16" x14ac:dyDescent="0.4">
      <c r="A41" t="s">
        <v>111</v>
      </c>
    </row>
    <row r="42" spans="1:16" x14ac:dyDescent="0.4">
      <c r="A42" t="s">
        <v>33</v>
      </c>
    </row>
    <row r="43" spans="1:16" x14ac:dyDescent="0.4">
      <c r="A43" t="s">
        <v>103</v>
      </c>
      <c r="B43" t="s">
        <v>92</v>
      </c>
      <c r="C43" t="s">
        <v>93</v>
      </c>
      <c r="D43" t="s">
        <v>94</v>
      </c>
      <c r="E43" t="s">
        <v>68</v>
      </c>
    </row>
    <row r="44" spans="1:16" x14ac:dyDescent="0.4">
      <c r="A44">
        <v>292</v>
      </c>
      <c r="B44" s="6">
        <v>3739.01</v>
      </c>
      <c r="C44" s="6">
        <v>-1481.96</v>
      </c>
      <c r="D44" s="6">
        <v>2404.4659999999999</v>
      </c>
      <c r="E44" s="6">
        <v>2574.7260000000001</v>
      </c>
    </row>
    <row r="45" spans="1:16" x14ac:dyDescent="0.4">
      <c r="A45">
        <v>272</v>
      </c>
      <c r="B45" s="6">
        <v>3739.01</v>
      </c>
      <c r="C45" s="6">
        <v>-1481.96</v>
      </c>
      <c r="D45" s="6">
        <v>2471.4290000000001</v>
      </c>
      <c r="E45" s="6">
        <v>2641.6889999999999</v>
      </c>
    </row>
    <row r="46" spans="1:16" x14ac:dyDescent="0.4">
      <c r="A46">
        <v>252</v>
      </c>
      <c r="B46" s="6">
        <v>3739.01</v>
      </c>
      <c r="C46" s="6">
        <v>-1481.96</v>
      </c>
      <c r="D46" s="6">
        <v>2538.3919999999998</v>
      </c>
      <c r="E46" s="6">
        <v>2708.652</v>
      </c>
    </row>
    <row r="47" spans="1:16" x14ac:dyDescent="0.4">
      <c r="A47">
        <v>232</v>
      </c>
      <c r="B47" s="6">
        <v>3739.01</v>
      </c>
      <c r="C47" s="6">
        <v>-1481.96</v>
      </c>
      <c r="D47" s="6">
        <v>2605.355</v>
      </c>
      <c r="E47" s="6">
        <v>2775.6149999999998</v>
      </c>
    </row>
    <row r="48" spans="1:16" x14ac:dyDescent="0.4">
      <c r="A48">
        <v>212</v>
      </c>
      <c r="B48" s="6">
        <v>3739.01</v>
      </c>
      <c r="C48" s="6">
        <v>-1481.96</v>
      </c>
      <c r="D48" s="6">
        <v>2672.3180000000002</v>
      </c>
      <c r="E48" s="6">
        <v>2842.578</v>
      </c>
    </row>
    <row r="49" spans="1:5" x14ac:dyDescent="0.4">
      <c r="A49">
        <v>192</v>
      </c>
      <c r="B49" s="6">
        <v>3739.01</v>
      </c>
      <c r="C49" s="6">
        <v>-1481.96</v>
      </c>
      <c r="D49" s="6">
        <v>2739.2809999999999</v>
      </c>
      <c r="E49" s="6">
        <v>2909.5410000000002</v>
      </c>
    </row>
    <row r="50" spans="1:5" x14ac:dyDescent="0.4">
      <c r="A50">
        <v>172</v>
      </c>
      <c r="B50" s="6">
        <v>3739.01</v>
      </c>
      <c r="C50" s="6">
        <v>-1481.96</v>
      </c>
      <c r="D50" s="6">
        <v>2806.2440000000001</v>
      </c>
      <c r="E50" s="6">
        <v>2976.5039999999999</v>
      </c>
    </row>
    <row r="51" spans="1:5" x14ac:dyDescent="0.4">
      <c r="A51">
        <v>152</v>
      </c>
      <c r="B51" s="6">
        <v>3739.01</v>
      </c>
      <c r="C51" s="6">
        <v>-1481.96</v>
      </c>
      <c r="D51" s="6">
        <v>2873.2069999999999</v>
      </c>
      <c r="E51" s="6">
        <v>3043.4670000000001</v>
      </c>
    </row>
    <row r="52" spans="1:5" x14ac:dyDescent="0.4">
      <c r="A52">
        <v>132</v>
      </c>
      <c r="B52" s="6">
        <v>3739.01</v>
      </c>
      <c r="C52" s="6">
        <v>-1481.96</v>
      </c>
      <c r="D52" s="6">
        <v>2940.17</v>
      </c>
      <c r="E52" s="6">
        <v>3110.43</v>
      </c>
    </row>
    <row r="53" spans="1:5" x14ac:dyDescent="0.4">
      <c r="A53">
        <v>112</v>
      </c>
      <c r="B53" s="6">
        <v>3739.01</v>
      </c>
      <c r="C53" s="6">
        <v>-1481.96</v>
      </c>
      <c r="D53" s="6">
        <v>3007.1329999999998</v>
      </c>
      <c r="E53" s="6">
        <v>3177.393</v>
      </c>
    </row>
    <row r="54" spans="1:5" x14ac:dyDescent="0.4">
      <c r="A54">
        <v>92</v>
      </c>
      <c r="B54" s="6">
        <v>3739.01</v>
      </c>
      <c r="C54" s="6">
        <v>-1481.96</v>
      </c>
      <c r="D54" s="6">
        <v>3074.096</v>
      </c>
      <c r="E54" s="6">
        <v>3244.3560000000002</v>
      </c>
    </row>
    <row r="55" spans="1:5" x14ac:dyDescent="0.4">
      <c r="B55" s="6"/>
      <c r="C55" s="6"/>
      <c r="D55" s="6"/>
    </row>
    <row r="56" spans="1:5" x14ac:dyDescent="0.4">
      <c r="A56" t="s">
        <v>32</v>
      </c>
    </row>
    <row r="57" spans="1:5" x14ac:dyDescent="0.4">
      <c r="A57" t="s">
        <v>103</v>
      </c>
      <c r="B57" t="s">
        <v>92</v>
      </c>
      <c r="C57" t="s">
        <v>93</v>
      </c>
      <c r="D57" t="s">
        <v>94</v>
      </c>
      <c r="E57" t="s">
        <v>68</v>
      </c>
    </row>
    <row r="58" spans="1:5" x14ac:dyDescent="0.4">
      <c r="A58">
        <v>1943</v>
      </c>
      <c r="B58">
        <v>4017.2116999999998</v>
      </c>
      <c r="C58">
        <v>-1505.5244</v>
      </c>
      <c r="D58">
        <v>2225.4902999999999</v>
      </c>
      <c r="E58" s="6">
        <v>2438.3040000000001</v>
      </c>
    </row>
    <row r="59" spans="1:5" x14ac:dyDescent="0.4">
      <c r="A59">
        <v>1963</v>
      </c>
      <c r="B59">
        <v>4017.2822000000001</v>
      </c>
      <c r="C59">
        <v>-1505.5244</v>
      </c>
      <c r="D59">
        <v>2292.4773</v>
      </c>
      <c r="E59" s="6">
        <v>2505.2910000000002</v>
      </c>
    </row>
    <row r="60" spans="1:5" x14ac:dyDescent="0.4">
      <c r="A60">
        <v>1983</v>
      </c>
      <c r="B60">
        <v>4017.3040000000001</v>
      </c>
      <c r="C60">
        <v>-1505.5244</v>
      </c>
      <c r="D60">
        <v>2359.4643000000001</v>
      </c>
      <c r="E60" s="6">
        <v>2572.2779999999998</v>
      </c>
    </row>
    <row r="61" spans="1:5" x14ac:dyDescent="0.4">
      <c r="A61">
        <v>2003</v>
      </c>
      <c r="B61">
        <v>4017.3243000000002</v>
      </c>
      <c r="C61">
        <v>-1505.5446999999999</v>
      </c>
      <c r="D61">
        <v>2426.4512</v>
      </c>
      <c r="E61" s="6">
        <v>2639.2649999999999</v>
      </c>
    </row>
    <row r="62" spans="1:5" x14ac:dyDescent="0.4">
      <c r="A62">
        <v>2023</v>
      </c>
      <c r="B62">
        <v>4017.3948</v>
      </c>
      <c r="C62">
        <v>-1505.6152</v>
      </c>
      <c r="D62">
        <v>2493.4382000000001</v>
      </c>
      <c r="E62" s="6">
        <v>2706.252</v>
      </c>
    </row>
    <row r="63" spans="1:5" x14ac:dyDescent="0.4">
      <c r="A63">
        <v>2043</v>
      </c>
      <c r="B63">
        <v>4017.4652999999998</v>
      </c>
      <c r="C63">
        <v>-1505.6857</v>
      </c>
      <c r="D63">
        <v>2560.4250999999999</v>
      </c>
      <c r="E63" s="6">
        <v>2773.239</v>
      </c>
    </row>
    <row r="64" spans="1:5" x14ac:dyDescent="0.4">
      <c r="A64">
        <v>2063</v>
      </c>
      <c r="B64">
        <v>4017.5675999999999</v>
      </c>
      <c r="C64">
        <v>-1505.7244000000001</v>
      </c>
      <c r="D64">
        <v>2627.4119999999998</v>
      </c>
      <c r="E64" s="6">
        <v>2840.2260000000001</v>
      </c>
    </row>
    <row r="65" spans="1:5" x14ac:dyDescent="0.4">
      <c r="A65">
        <v>2083</v>
      </c>
      <c r="B65">
        <v>4017.7040000000002</v>
      </c>
      <c r="C65">
        <v>-1505.7244000000001</v>
      </c>
      <c r="D65">
        <v>2694.3987999999999</v>
      </c>
      <c r="E65" s="6">
        <v>2907.2130000000002</v>
      </c>
    </row>
    <row r="66" spans="1:5" x14ac:dyDescent="0.4">
      <c r="A66">
        <v>2103</v>
      </c>
      <c r="B66">
        <v>4017.7040000000002</v>
      </c>
      <c r="C66">
        <v>-1505.7244000000001</v>
      </c>
      <c r="D66">
        <v>2761.3858</v>
      </c>
      <c r="E66" s="6">
        <v>2974.2</v>
      </c>
    </row>
    <row r="67" spans="1:5" x14ac:dyDescent="0.4">
      <c r="A67">
        <v>2123</v>
      </c>
      <c r="B67">
        <v>4017.7541000000001</v>
      </c>
      <c r="C67">
        <v>-1505.6241</v>
      </c>
      <c r="D67">
        <v>2828.3726999999999</v>
      </c>
      <c r="E67" s="6">
        <v>3041.1869999999999</v>
      </c>
    </row>
    <row r="68" spans="1:5" x14ac:dyDescent="0.4">
      <c r="A68">
        <v>2143</v>
      </c>
      <c r="B68">
        <v>4017.8114999999998</v>
      </c>
      <c r="C68">
        <v>-1505.5093999999999</v>
      </c>
      <c r="D68">
        <v>2895.3595999999998</v>
      </c>
      <c r="E68" s="6">
        <v>3108.174</v>
      </c>
    </row>
    <row r="69" spans="1:5" x14ac:dyDescent="0.4">
      <c r="A69">
        <v>2163</v>
      </c>
      <c r="B69">
        <v>4017.8820000000001</v>
      </c>
      <c r="C69">
        <v>-1505.3683000000001</v>
      </c>
      <c r="D69">
        <v>2962.3463999999999</v>
      </c>
      <c r="E69" s="6">
        <v>3175.1610000000001</v>
      </c>
    </row>
    <row r="70" spans="1:5" x14ac:dyDescent="0.4">
      <c r="A70">
        <v>2183</v>
      </c>
      <c r="B70">
        <v>4017.9535999999998</v>
      </c>
      <c r="C70">
        <v>-1505.2747999999999</v>
      </c>
      <c r="D70">
        <v>3029.3332999999998</v>
      </c>
      <c r="E70" s="6">
        <v>3242.1480000000001</v>
      </c>
    </row>
    <row r="71" spans="1:5" x14ac:dyDescent="0.4">
      <c r="A71">
        <v>2203</v>
      </c>
      <c r="B71">
        <v>4017.8982000000001</v>
      </c>
      <c r="C71">
        <v>-1505.3090999999999</v>
      </c>
      <c r="D71">
        <v>3096.3198000000002</v>
      </c>
      <c r="E71" s="6">
        <v>3309.1350000000002</v>
      </c>
    </row>
    <row r="72" spans="1:5" x14ac:dyDescent="0.4">
      <c r="A72">
        <v>2223</v>
      </c>
      <c r="B72">
        <v>4017.5455999999999</v>
      </c>
      <c r="C72">
        <v>-1505.5911000000001</v>
      </c>
      <c r="D72">
        <v>3163.3053</v>
      </c>
      <c r="E72" s="6">
        <v>3376.1219999999998</v>
      </c>
    </row>
    <row r="73" spans="1:5" x14ac:dyDescent="0.4">
      <c r="A73">
        <v>2243</v>
      </c>
      <c r="B73">
        <v>4016.1493</v>
      </c>
      <c r="C73">
        <v>-1506.6712</v>
      </c>
      <c r="D73">
        <v>3230.2673</v>
      </c>
      <c r="E73" s="6">
        <v>3443.1089999999899</v>
      </c>
    </row>
    <row r="74" spans="1:5" x14ac:dyDescent="0.4">
      <c r="A74">
        <v>2263</v>
      </c>
      <c r="B74">
        <v>4014.0680000000002</v>
      </c>
      <c r="C74">
        <v>-1508.4971</v>
      </c>
      <c r="D74">
        <v>3297.1905999999999</v>
      </c>
      <c r="E74" s="6">
        <v>3510.09599999999</v>
      </c>
    </row>
    <row r="75" spans="1:5" x14ac:dyDescent="0.4">
      <c r="A75">
        <v>2283</v>
      </c>
      <c r="B75">
        <v>4011.3117000000002</v>
      </c>
      <c r="C75">
        <v>-1511.1289999999999</v>
      </c>
      <c r="D75">
        <v>3364.0689000000002</v>
      </c>
      <c r="E75" s="6">
        <v>3577.0829999999901</v>
      </c>
    </row>
    <row r="76" spans="1:5" x14ac:dyDescent="0.4">
      <c r="A76">
        <v>2303</v>
      </c>
      <c r="B76">
        <v>4008.3467000000001</v>
      </c>
      <c r="C76">
        <v>-1514.4971</v>
      </c>
      <c r="D76">
        <v>3430.9049</v>
      </c>
      <c r="E76" s="6">
        <v>3644.0699999999902</v>
      </c>
    </row>
    <row r="77" spans="1:5" x14ac:dyDescent="0.4">
      <c r="A77">
        <v>2323</v>
      </c>
      <c r="B77">
        <v>4006.5131999999999</v>
      </c>
      <c r="C77">
        <v>-1516.8242</v>
      </c>
      <c r="D77">
        <v>3497.8263999999999</v>
      </c>
      <c r="E77" s="6">
        <v>3711.0569999999898</v>
      </c>
    </row>
    <row r="78" spans="1:5" x14ac:dyDescent="0.4">
      <c r="A78">
        <v>2343</v>
      </c>
      <c r="B78">
        <v>4005.9769000000001</v>
      </c>
      <c r="C78">
        <v>-1518.0703000000001</v>
      </c>
      <c r="D78">
        <v>3564.7862</v>
      </c>
      <c r="E78" s="6">
        <v>3778.0439999999899</v>
      </c>
    </row>
    <row r="79" spans="1:5" x14ac:dyDescent="0.4">
      <c r="A79">
        <v>2363</v>
      </c>
      <c r="B79">
        <v>4006.5338000000002</v>
      </c>
      <c r="C79">
        <v>-1518.5244</v>
      </c>
      <c r="D79">
        <v>3631.7665999999999</v>
      </c>
      <c r="E79" s="6">
        <v>3845.0309999999899</v>
      </c>
    </row>
    <row r="80" spans="1:5" x14ac:dyDescent="0.4">
      <c r="A80">
        <v>2383</v>
      </c>
      <c r="B80">
        <v>4008.2255</v>
      </c>
      <c r="C80">
        <v>-1518.5244</v>
      </c>
      <c r="D80">
        <v>3698.7323000000001</v>
      </c>
      <c r="E80" s="6">
        <v>3912.01799999999</v>
      </c>
    </row>
    <row r="81" customFormat="1" x14ac:dyDescent="0.4"/>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ワークシート</vt:lpstr>
      </vt:variant>
      <vt:variant>
        <vt:i4>7</vt:i4>
      </vt:variant>
    </vt:vector>
  </HeadingPairs>
  <TitlesOfParts>
    <vt:vector size="7" baseType="lpstr">
      <vt:lpstr>Reference</vt:lpstr>
      <vt:lpstr>56</vt:lpstr>
      <vt:lpstr>58</vt:lpstr>
      <vt:lpstr>78B</vt:lpstr>
      <vt:lpstr>78A-BOSS</vt:lpstr>
      <vt:lpstr>78A-Sulis</vt:lpstr>
      <vt:lpstr>78A&amp;B-Silixa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Dyer</dc:creator>
  <cp:lastModifiedBy>mitsuyuki.ozawa</cp:lastModifiedBy>
  <dcterms:created xsi:type="dcterms:W3CDTF">2022-04-08T20:03:23Z</dcterms:created>
  <dcterms:modified xsi:type="dcterms:W3CDTF">2025-07-16T07:03:02Z</dcterms:modified>
</cp:coreProperties>
</file>